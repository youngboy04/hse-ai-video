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e592511af84b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Экономика" sheetId="1" r:id="R0422f1cda45c4edc"/>
    <x:sheet xmlns:r="http://schemas.openxmlformats.org/officeDocument/2006/relationships" name="Сценарии" sheetId="2" r:id="Rb0bdd2d3698b48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;(#,##0.0);&quot;-&quot;"/>
    <x:numFmt numFmtId="201" formatCode="0.0%"/>
    <x:numFmt numFmtId="202" formatCode="0"/>
    <x:numFmt numFmtId="203" formatCode="0%"/>
  </x:numFmts>
  <x:fonts count="8">
    <x:font>
      <x:sz val="11"/>
      <x:name val="Carlito"/>
    </x:font>
    <x:font>
      <x:sz val="11"/>
      <x:color rgb="FF111827"/>
      <x:name val="Arial"/>
    </x:font>
    <x:font>
      <x:b/>
      <x:sz val="16"/>
      <x:color rgb="FF111827"/>
      <x:name val="Arial"/>
    </x:font>
    <x:font>
      <x:i/>
      <x:sz val="10"/>
      <x:color rgb="FF64748B"/>
      <x:name val="Arial"/>
    </x:font>
    <x:font>
      <x:sz val="11"/>
      <x:color rgb="FF0000FF"/>
      <x:name val="Arial"/>
    </x:font>
    <x:font>
      <x:sz val="10"/>
      <x:color rgb="FF64748B"/>
      <x:name val="Arial"/>
    </x:font>
    <x:font>
      <x:sz val="11"/>
      <x:color rgb="FF00800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22C38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2" borderId="0" xfId="0" applyNumberFormat="1" applyFont="1" applyFill="1" applyBorder="1"/>
    <x:xf numFmtId="201" fontId="4" fillId="2" borderId="0" xfId="0" applyNumberFormat="1" applyFont="1" applyFill="1" applyBorder="1"/>
    <x:xf numFmtId="202" fontId="1" fillId="0" borderId="0" xfId="0" applyNumberFormat="1" applyFont="1" applyFill="1" applyBorder="1"/>
    <x:xf numFmtId="202" fontId="4" fillId="0" borderId="0" xfId="0" applyNumberFormat="1" applyFont="1" applyFill="1" applyBorder="1"/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3" fontId="1" fillId="0" borderId="0" xfId="0" applyNumberFormat="1" applyFont="1" applyFill="1" applyBorder="1"/>
    <x:xf numFmtId="203" fontId="4" fillId="0" borderId="0" xfId="0" applyNumberFormat="1" applyFont="1" applyFill="1" applyBorder="1"/>
    <x:xf numFmtId="200" fontId="6" fillId="0" borderId="0" xfId="0" applyNumberFormat="1" applyFont="1" applyFill="1" applyBorder="1"/>
    <x:xf numFmtId="0" fontId="1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8bffb3d1024590" /><Relationship Type="http://schemas.openxmlformats.org/officeDocument/2006/relationships/theme" Target="/xl/theme/theme1.xml" Id="Rec22faa8d69a45b1" /><Relationship Type="http://schemas.openxmlformats.org/officeDocument/2006/relationships/sharedStrings" Target="/xl/sharedStrings.xml" Id="Rc0efa0d786ad462e" /><Relationship Type="http://schemas.openxmlformats.org/officeDocument/2006/relationships/worksheet" Target="/xl/worksheets/sheet1.xml" Id="R0422f1cda45c4edc" /><Relationship Type="http://schemas.openxmlformats.org/officeDocument/2006/relationships/worksheet" Target="/xl/worksheets/sheet2.xml" Id="Rb0bdd2d3698b48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5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6" customHeight="1">
      <x:c r="B1" s="1"/>
      <x:c r="C1" s="1"/>
      <x:c r="D1" s="1"/>
      <x:c r="E1" s="1"/>
      <x:c r="F1" s="1"/>
    </x:row>
    <x:row r="2" ht="26" customHeight="1">
      <x:c r="B2" s="22" t="str">
        <x:v>HSE AI-Video: финансовая гипотеза</x:v>
      </x:c>
      <x:c r="C2" s="3"/>
      <x:c r="D2" s="3"/>
      <x:c r="E2" s="3"/>
      <x:c r="F2" s="3"/>
    </x:row>
    <x:row r="3" ht="26" customHeight="1">
      <x:c r="B3" s="23" t="str">
        <x:v>Все суммы в тыс. руб. Периоды отсчитываются от начала коммерческих продаж.</x:v>
      </x:c>
      <x:c r="C3" s="4"/>
      <x:c r="D3" s="4"/>
      <x:c r="E3" s="4"/>
      <x:c r="F3" s="4"/>
    </x:row>
    <x:row r="4" ht="26" customHeight="1">
      <x:c r="B4" s="23" t="str">
        <x:v>Допущения на 30.09.2026. Не оферта, не подтверждённый прогноз и не фактические продажи.</x:v>
      </x:c>
      <x:c r="C4" s="4"/>
      <x:c r="D4" s="4"/>
      <x:c r="E4" s="4"/>
      <x:c r="F4" s="4"/>
    </x:row>
    <x:row r="5" ht="26" customHeight="1">
      <x:c r="B5" s="1"/>
      <x:c r="C5" s="1"/>
      <x:c r="D5" s="1"/>
      <x:c r="E5" s="1"/>
      <x:c r="F5" s="1"/>
    </x:row>
    <x:row r="6" ht="38" customHeight="1">
      <x:c r="B6" s="18" t="str">
        <x:v>Допущения</x:v>
      </x:c>
      <x:c r="C6" s="18" t="str">
        <x:v>Значение</x:v>
      </x:c>
      <x:c r="D6" s="18" t="str">
        <x:v>Основание</x:v>
      </x:c>
      <x:c r="E6" s="1"/>
      <x:c r="F6" s="1"/>
    </x:row>
    <x:row r="7" ht="26" customHeight="1">
      <x:c r="B7" s="1" t="str">
        <x:v>Лицензия и внедрение, до 8 камер</x:v>
      </x:c>
      <x:c r="C7" s="6" t="n">
        <x:v>480</x:v>
      </x:c>
      <x:c r="D7" s="2" t="str">
        <x:v>Оценка</x:v>
      </x:c>
      <x:c r="E7" s="2"/>
      <x:c r="F7" s="2"/>
    </x:row>
    <x:row r="8" ht="26" customHeight="1">
      <x:c r="B8" s="1" t="str">
        <x:v>Поддержка в год со следующего года</x:v>
      </x:c>
      <x:c r="C8" s="6" t="n">
        <x:v>96</x:v>
      </x:c>
      <x:c r="D8" s="2" t="str">
        <x:v>Оценка</x:v>
      </x:c>
      <x:c r="E8" s="2"/>
      <x:c r="F8" s="2"/>
    </x:row>
    <x:row r="9" ht="26" customHeight="1">
      <x:c r="B9" s="1" t="str">
        <x:v>Прямые затраты на внедрение</x:v>
      </x:c>
      <x:c r="C9" s="6" t="n">
        <x:v>120</x:v>
      </x:c>
      <x:c r="D9" s="2" t="str">
        <x:v>Оценка</x:v>
      </x:c>
      <x:c r="E9" s="2"/>
      <x:c r="F9" s="2"/>
    </x:row>
    <x:row r="10" ht="26" customHeight="1">
      <x:c r="B10" s="1" t="str">
        <x:v>Прямые затраты на поддержку в год</x:v>
      </x:c>
      <x:c r="C10" s="6" t="n">
        <x:v>36</x:v>
      </x:c>
      <x:c r="D10" s="2" t="str">
        <x:v>Оценка</x:v>
      </x:c>
      <x:c r="E10" s="2"/>
      <x:c r="F10" s="2"/>
    </x:row>
    <x:row r="11" ht="26" customHeight="1">
      <x:c r="B11" s="1" t="str">
        <x:v>Условный резерв на налоги, доля выручки</x:v>
      </x:c>
      <x:c r="C11" s="7" t="n">
        <x:v>0.06</x:v>
      </x:c>
      <x:c r="D11" s="2" t="str">
        <x:v>Допущение</x:v>
      </x:c>
      <x:c r="E11" s="2"/>
      <x:c r="F11" s="2"/>
    </x:row>
    <x:row r="12" ht="26" customHeight="1">
      <x:c r="B12" s="1" t="str">
        <x:v>Ставка дисконтирования</x:v>
      </x:c>
      <x:c r="C12" s="7" t="n">
        <x:v>0.2</x:v>
      </x:c>
      <x:c r="D12" s="2" t="str">
        <x:v>Допущение</x:v>
      </x:c>
      <x:c r="E12" s="2"/>
      <x:c r="F12" s="2"/>
    </x:row>
    <x:row r="13" ht="26" customHeight="1">
      <x:c r="B13" s="1" t="str">
        <x:v>Первоначальные затраты</x:v>
      </x:c>
      <x:c r="C13" s="6" t="n">
        <x:v>1500</x:v>
      </x:c>
      <x:c r="D13" s="2" t="str">
        <x:v>Смета ниже</x:v>
      </x:c>
      <x:c r="E13" s="2"/>
      <x:c r="F13" s="2"/>
    </x:row>
    <x:row r="14" ht="26" customHeight="1">
      <x:c r="B14" s="1"/>
      <x:c r="C14" s="2"/>
      <x:c r="D14" s="2"/>
      <x:c r="E14" s="2"/>
      <x:c r="F14" s="2"/>
    </x:row>
    <x:row r="15" ht="38" customHeight="1">
      <x:c r="B15" s="18" t="str">
        <x:v>Показатель</x:v>
      </x:c>
      <x:c r="C15" s="21" t="str">
        <x:v>Период 0</x:v>
      </x:c>
      <x:c r="D15" s="21" t="str">
        <x:v>Год 1</x:v>
      </x:c>
      <x:c r="E15" s="21" t="str">
        <x:v>Год 2</x:v>
      </x:c>
      <x:c r="F15" s="21" t="str">
        <x:v>Год 3</x:v>
      </x:c>
    </x:row>
    <x:row r="16" ht="26" customHeight="1">
      <x:c r="B16" s="1" t="str">
        <x:v>Новые площадки, шт.</x:v>
      </x:c>
      <x:c r="C16" s="8" t="n">
        <x:v>0</x:v>
      </x:c>
      <x:c r="D16" s="9" t="n">
        <x:v>3</x:v>
      </x:c>
      <x:c r="E16" s="9" t="n">
        <x:v>6</x:v>
      </x:c>
      <x:c r="F16" s="9" t="n">
        <x:v>12</x:v>
      </x:c>
    </x:row>
    <x:row r="17" ht="26" customHeight="1">
      <x:c r="B17" s="1" t="str">
        <x:v>Площадки на поддержке, шт.</x:v>
      </x:c>
      <x:c r="C17" s="8" t="n">
        <x:v>0</x:v>
      </x:c>
      <x:c r="D17" s="8" t="n">
        <x:f>SUM($C$16:C16)</x:f>
        <x:v>0</x:v>
      </x:c>
      <x:c r="E17" s="8" t="n">
        <x:f>SUM($C$16:D16)</x:f>
        <x:v>3</x:v>
      </x:c>
      <x:c r="F17" s="8" t="n">
        <x:f>SUM($C$16:E16)</x:f>
        <x:v>9</x:v>
      </x:c>
    </x:row>
    <x:row r="18" ht="26" customHeight="1">
      <x:c r="B18" s="1" t="str">
        <x:v>Выручка</x:v>
      </x:c>
      <x:c r="C18" s="2" t="n">
        <x:v>0</x:v>
      </x:c>
      <x:c r="D18" s="2" t="n">
        <x:f>D16*$C$7+D17*$C$8</x:f>
        <x:v>1440</x:v>
      </x:c>
      <x:c r="E18" s="2" t="n">
        <x:f>E16*$C$7+E17*$C$8</x:f>
        <x:v>3168</x:v>
      </x:c>
      <x:c r="F18" s="2" t="n">
        <x:f>F16*$C$7+F17*$C$8</x:f>
        <x:v>6624</x:v>
      </x:c>
    </x:row>
    <x:row r="19" ht="26" customHeight="1">
      <x:c r="B19" s="1" t="str">
        <x:v>Прямые затраты</x:v>
      </x:c>
      <x:c r="C19" s="2" t="n">
        <x:v>0</x:v>
      </x:c>
      <x:c r="D19" s="2" t="n">
        <x:f>D16*$C$9+D17*$C$10</x:f>
        <x:v>360</x:v>
      </x:c>
      <x:c r="E19" s="2" t="n">
        <x:f>E16*$C$9+E17*$C$10</x:f>
        <x:v>828</x:v>
      </x:c>
      <x:c r="F19" s="2" t="n">
        <x:f>F16*$C$9+F17*$C$10</x:f>
        <x:v>1764</x:v>
      </x:c>
    </x:row>
    <x:row r="20" ht="26" customHeight="1">
      <x:c r="B20" s="1" t="str">
        <x:v>Маржинальный доход</x:v>
      </x:c>
      <x:c r="C20" s="2" t="n">
        <x:v>0</x:v>
      </x:c>
      <x:c r="D20" s="2" t="n">
        <x:f>D18-D19</x:f>
        <x:v>1080</x:v>
      </x:c>
      <x:c r="E20" s="2" t="n">
        <x:f>E18-E19</x:f>
        <x:v>2340</x:v>
      </x:c>
      <x:c r="F20" s="2" t="n">
        <x:f>F18-F19</x:f>
        <x:v>4860</x:v>
      </x:c>
    </x:row>
    <x:row r="21" ht="26" customHeight="1">
      <x:c r="B21" s="1" t="str">
        <x:v>Постоянные расходы</x:v>
      </x:c>
      <x:c r="C21" s="2" t="n">
        <x:v>0</x:v>
      </x:c>
      <x:c r="D21" s="5" t="n">
        <x:v>1200</x:v>
      </x:c>
      <x:c r="E21" s="5" t="n">
        <x:v>1500</x:v>
      </x:c>
      <x:c r="F21" s="5" t="n">
        <x:v>1800</x:v>
      </x:c>
    </x:row>
    <x:row r="22" ht="26" customHeight="1">
      <x:c r="B22" s="1" t="str">
        <x:v>Операционный денежный результат</x:v>
      </x:c>
      <x:c r="C22" s="2" t="n">
        <x:v>0</x:v>
      </x:c>
      <x:c r="D22" s="2" t="n">
        <x:f>D20-D21</x:f>
        <x:v>-120</x:v>
      </x:c>
      <x:c r="E22" s="2" t="n">
        <x:f>E20-E21</x:f>
        <x:v>840</x:v>
      </x:c>
      <x:c r="F22" s="2" t="n">
        <x:f>F20-F21</x:f>
        <x:v>3060</x:v>
      </x:c>
    </x:row>
    <x:row r="23" ht="26" customHeight="1">
      <x:c r="B23" s="1" t="str">
        <x:v>Условный налоговый резерв</x:v>
      </x:c>
      <x:c r="C23" s="2" t="n">
        <x:v>0</x:v>
      </x:c>
      <x:c r="D23" s="2" t="n">
        <x:f>D18*$C$11</x:f>
        <x:v>86.39999999999999</x:v>
      </x:c>
      <x:c r="E23" s="2" t="n">
        <x:f>E18*$C$11</x:f>
        <x:v>190.07999999999998</x:v>
      </x:c>
      <x:c r="F23" s="2" t="n">
        <x:f>F18*$C$11</x:f>
        <x:v>397.44</x:v>
      </x:c>
    </x:row>
    <x:row r="24" ht="26" customHeight="1">
      <x:c r="B24" s="1" t="str">
        <x:v>Денежный поток</x:v>
      </x:c>
      <x:c r="C24" s="2" t="n">
        <x:f>-C13</x:f>
        <x:v>-1500</x:v>
      </x:c>
      <x:c r="D24" s="2" t="n">
        <x:f>D22-D23</x:f>
        <x:v>-206.39999999999998</x:v>
      </x:c>
      <x:c r="E24" s="2" t="n">
        <x:f>E22-E23</x:f>
        <x:v>649.9200000000001</x:v>
      </x:c>
      <x:c r="F24" s="2" t="n">
        <x:f>F22-F23</x:f>
        <x:v>2662.56</x:v>
      </x:c>
    </x:row>
    <x:row r="25" ht="26" customHeight="1">
      <x:c r="B25" s="1" t="str">
        <x:v>Накопленный денежный поток</x:v>
      </x:c>
      <x:c r="C25" s="2" t="n">
        <x:f>C24</x:f>
        <x:v>-1500</x:v>
      </x:c>
      <x:c r="D25" s="2" t="n">
        <x:f>C25+D24</x:f>
        <x:v>-1706.4</x:v>
      </x:c>
      <x:c r="E25" s="2" t="n">
        <x:f>D25+E24</x:f>
        <x:v>-1056.48</x:v>
      </x:c>
      <x:c r="F25" s="2" t="n">
        <x:f>E25+F24</x:f>
        <x:v>1606.08</x:v>
      </x:c>
    </x:row>
    <x:row r="26" ht="26" customHeight="1">
      <x:c r="B26" s="1" t="str">
        <x:v>Дисконтированный поток</x:v>
      </x:c>
      <x:c r="C26" s="2" t="n">
        <x:f>C24</x:f>
        <x:v>-1500</x:v>
      </x:c>
      <x:c r="D26" s="2" t="n">
        <x:f>D24/(1+$C$12)^1</x:f>
        <x:v>-172</x:v>
      </x:c>
      <x:c r="E26" s="2" t="n">
        <x:f>E24/(1+$C$12)^2</x:f>
        <x:v>451.3333333333334</x:v>
      </x:c>
      <x:c r="F26" s="2" t="n">
        <x:f>F24/(1+$C$12)^3</x:f>
        <x:v>1540.8333333333335</x:v>
      </x:c>
    </x:row>
    <x:row r="27" ht="26" customHeight="1">
      <x:c r="B27" s="1" t="str">
        <x:v>Накопленный дисконтированный поток</x:v>
      </x:c>
      <x:c r="C27" s="2" t="n">
        <x:f>C24</x:f>
        <x:v>-1500</x:v>
      </x:c>
      <x:c r="D27" s="2" t="n">
        <x:f>C27+D26</x:f>
        <x:v>-1672</x:v>
      </x:c>
      <x:c r="E27" s="2" t="n">
        <x:f>D27+E26</x:f>
        <x:v>-1220.6666666666665</x:v>
      </x:c>
      <x:c r="F27" s="2" t="n">
        <x:f>E27+F26</x:f>
        <x:v>320.16666666666697</x:v>
      </x:c>
    </x:row>
    <x:row r="28" ht="26" customHeight="1">
      <x:c r="B28" s="1"/>
      <x:c r="C28" s="2"/>
      <x:c r="D28" s="2"/>
      <x:c r="E28" s="2"/>
      <x:c r="F28" s="2"/>
    </x:row>
    <x:row r="29" ht="26" customHeight="1">
      <x:c r="B29" s="1" t="str">
        <x:v>NPV, тыс. руб.</x:v>
      </x:c>
      <x:c r="C29" s="2" t="n">
        <x:f>SUM(C26:F26)</x:f>
        <x:v>320.16666666666697</x:v>
      </x:c>
      <x:c r="D29" s="2"/>
      <x:c r="E29" s="2"/>
      <x:c r="F29" s="2"/>
    </x:row>
    <x:row r="30" ht="26" customHeight="1">
      <x:c r="B30" s="1" t="str">
        <x:v>IRR</x:v>
      </x:c>
      <x:c r="C30" s="10" t="n">
        <x:f>IRR(C24:F24)</x:f>
        <x:v>0.28145508463157054</x:v>
      </x:c>
      <x:c r="D30" s="2"/>
      <x:c r="E30" s="2"/>
      <x:c r="F30" s="2"/>
    </x:row>
    <x:row r="31" ht="26" customHeight="1">
      <x:c r="B31" s="1" t="str">
        <x:v>Потребность в финансировании, тыс. руб.</x:v>
      </x:c>
      <x:c r="C31" s="2" t="n">
        <x:f>-MIN(C25:F25)</x:f>
        <x:v>1706.4</x:v>
      </x:c>
      <x:c r="D31" s="2"/>
      <x:c r="E31" s="2"/>
      <x:c r="F31" s="2"/>
    </x:row>
    <x:row r="32" ht="26" customHeight="1">
      <x:c r="B32" s="1" t="str">
        <x:v>BEP в год 1, новых площадок</x:v>
      </x:c>
      <x:c r="C32" s="8" t="n">
        <x:f>ROUNDUP(D21/($C$7*(1-$C$11)-$C$9),0)</x:f>
        <x:v>4</x:v>
      </x:c>
      <x:c r="D32" s="2"/>
      <x:c r="E32" s="2"/>
      <x:c r="F32" s="2"/>
    </x:row>
    <x:row r="33" ht="26" customHeight="1">
      <x:c r="B33" s="1" t="str">
        <x:v>BEP в год 1, выручка, тыс. руб.</x:v>
      </x:c>
      <x:c r="C33" s="2" t="n">
        <x:f>C32*C7</x:f>
        <x:v>1920</x:v>
      </x:c>
      <x:c r="D33" s="2"/>
      <x:c r="E33" s="2"/>
      <x:c r="F33" s="2"/>
    </x:row>
    <x:row r="34" ht="26" customHeight="1">
      <x:c r="B34" s="1"/>
      <x:c r="C34" s="2"/>
      <x:c r="D34" s="2"/>
      <x:c r="E34" s="2"/>
      <x:c r="F34" s="2"/>
    </x:row>
    <x:row r="35" ht="26" customHeight="1">
      <x:c r="B35" s="1" t="str">
        <x:v>Первоначальная смета, тыс. руб.</x:v>
      </x:c>
      <x:c r="C35" s="2" t="n">
        <x:f>SUM(C36:C38)</x:f>
        <x:v>1500</x:v>
      </x:c>
      <x:c r="D35" s="2"/>
      <x:c r="E35" s="2"/>
      <x:c r="F35" s="2"/>
    </x:row>
    <x:row r="36" ht="26" customHeight="1">
      <x:c r="B36" s="1" t="str">
        <x:v>Работы команды, 3 месяца</x:v>
      </x:c>
      <x:c r="C36" s="2" t="n">
        <x:v>900</x:v>
      </x:c>
      <x:c r="D36" s="2"/>
      <x:c r="E36" s="2"/>
      <x:c r="F36" s="2"/>
    </x:row>
    <x:row r="37" ht="26" customHeight="1">
      <x:c r="B37" s="1" t="str">
        <x:v>Тестовый сервер</x:v>
      </x:c>
      <x:c r="C37" s="2" t="n">
        <x:v>300</x:v>
      </x:c>
      <x:c r="D37" s="2"/>
      <x:c r="E37" s="2"/>
      <x:c r="F37" s="2"/>
    </x:row>
    <x:row r="38" ht="26" customHeight="1">
      <x:c r="B38" s="1" t="str">
        <x:v>Данные, лицензии моделей и испытания</x:v>
      </x:c>
      <x:c r="C38" s="2" t="n">
        <x:v>300</x:v>
      </x:c>
      <x:c r="D38" s="2"/>
      <x:c r="E38" s="2"/>
      <x:c r="F38" s="2"/>
    </x:row>
    <x:row r="39" ht="26" customHeight="1">
      <x:c r="B39" s="1"/>
      <x:c r="C39" s="2"/>
      <x:c r="D39" s="2"/>
      <x:c r="E39" s="2"/>
      <x:c r="F39" s="2"/>
    </x:row>
    <x:row r="40" ht="26" customHeight="1">
      <x:c r="B40" s="24" t="str">
        <x:v>НДС, льготы, взносы и режим налогообложения нужно уточнить перед коммерческим запуском.</x:v>
      </x:c>
      <x:c r="C40" s="12"/>
      <x:c r="D40" s="12"/>
      <x:c r="E40" s="12"/>
      <x:c r="F40" s="12"/>
    </x:row>
    <x:row r="41" ht="26" customHeight="1">
      <x:c r="B41" s="24" t="str">
        <x:v>Налоговый резерв 6% служит только расчётным допущением. Налоговая модель не подтверждена.</x:v>
      </x:c>
      <x:c r="C41" s="11"/>
      <x:c r="D41" s="11"/>
      <x:c r="E41" s="11"/>
      <x:c r="F41" s="11"/>
    </x:row>
    <x:row r="42" ht="26" customHeight="1">
      <x:c r="B42" s="24" t="str">
        <x:v>Поступления и выплаты в конце года. Нет долга, остаточной стоимости, инфляции и оборотного капитала.</x:v>
      </x:c>
      <x:c r="C42" s="11"/>
      <x:c r="D42" s="11"/>
      <x:c r="E42" s="11"/>
      <x:c r="F42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5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6" customHeight="1">
      <x:c r="B1" s="1"/>
      <x:c r="C1" s="1"/>
      <x:c r="D1" s="1"/>
      <x:c r="E1" s="1"/>
      <x:c r="F1" s="1"/>
    </x:row>
    <x:row r="2" ht="26" customHeight="1">
      <x:c r="B2" s="22" t="str">
        <x:v>Чувствительность финансовой гипотезы</x:v>
      </x:c>
      <x:c r="C2" s="3"/>
      <x:c r="D2" s="3"/>
      <x:c r="E2" s="3"/>
      <x:c r="F2" s="3"/>
    </x:row>
    <x:row r="3" ht="26" customHeight="1">
      <x:c r="B3" s="25" t="str">
        <x:v>Цены и затраты связаны с листом «Экономика». Сценарии не подкреплены предзаказами.</x:v>
      </x:c>
      <x:c r="C3" s="1"/>
      <x:c r="D3" s="1"/>
      <x:c r="E3" s="1"/>
      <x:c r="F3" s="1"/>
    </x:row>
    <x:row r="4" ht="26" customHeight="1">
      <x:c r="B4" s="25"/>
      <x:c r="C4" s="1"/>
      <x:c r="D4" s="1"/>
      <x:c r="E4" s="1"/>
      <x:c r="F4" s="1"/>
    </x:row>
    <x:row r="5" ht="26" customHeight="1">
      <x:c r="B5" s="1"/>
      <x:c r="C5" s="1"/>
      <x:c r="D5" s="1"/>
      <x:c r="E5" s="1"/>
      <x:c r="F5" s="1"/>
    </x:row>
    <x:row r="6" ht="38" customHeight="1">
      <x:c r="B6" s="18" t="str">
        <x:v>Сценарий</x:v>
      </x:c>
      <x:c r="C6" s="18" t="str">
        <x:v>Год 1</x:v>
      </x:c>
      <x:c r="D6" s="18" t="str">
        <x:v>Год 2</x:v>
      </x:c>
      <x:c r="E6" s="18" t="str">
        <x:v>Год 3</x:v>
      </x:c>
      <x:c r="F6" s="18" t="str">
        <x:v>NPV, тыс. руб.</x:v>
      </x:c>
    </x:row>
    <x:row r="7" ht="26" customHeight="1">
      <x:c r="B7" s="1" t="str">
        <x:v>Консервативный</x:v>
      </x:c>
      <x:c r="C7" s="9" t="n">
        <x:v>1</x:v>
      </x:c>
      <x:c r="D7" s="9" t="n">
        <x:v>3</x:v>
      </x:c>
      <x:c r="E7" s="9" t="n">
        <x:v>6</x:v>
      </x:c>
      <x:c r="F7" s="15" t="n">
        <x:f>-'Экономика'!$C$13+(C7*('Экономика'!$C$7*(1-'Экономика'!$C$11)-'Экономика'!$C$9)-'Экономика'!$D$21)/(1+'Экономика'!$C$12)+(D7*('Экономика'!$C$7*(1-'Экономика'!$C$11)-'Экономика'!$C$9)+C7*('Экономика'!$C$8*(1-'Экономика'!$C$11)-'Экономика'!$C$10)-'Экономика'!$E$21)/(1+'Экономика'!$C$12)^2+(E7*('Экономика'!$C$7*(1-'Экономика'!$C$11)-'Экономика'!$C$9)+(C7+D7)*('Экономика'!$C$8*(1-'Экономика'!$C$11)-'Экономика'!$C$10)-'Экономика'!$F$21)/(1+'Экономика'!$C$12)^3</x:f>
        <x:v>-2304.1111111111113</x:v>
      </x:c>
    </x:row>
    <x:row r="8" ht="26" customHeight="1">
      <x:c r="B8" s="1" t="str">
        <x:v>Базовый</x:v>
      </x:c>
      <x:c r="C8" s="9" t="n">
        <x:v>3</x:v>
      </x:c>
      <x:c r="D8" s="9" t="n">
        <x:v>6</x:v>
      </x:c>
      <x:c r="E8" s="9" t="n">
        <x:v>12</x:v>
      </x:c>
      <x:c r="F8" s="15" t="n">
        <x:f>-'Экономика'!$C$13+(C8*('Экономика'!$C$7*(1-'Экономика'!$C$11)-'Экономика'!$C$9)-'Экономика'!$D$21)/(1+'Экономика'!$C$12)+(D8*('Экономика'!$C$7*(1-'Экономика'!$C$11)-'Экономика'!$C$9)+C8*('Экономика'!$C$8*(1-'Экономика'!$C$11)-'Экономика'!$C$10)-'Экономика'!$E$21)/(1+'Экономика'!$C$12)^2+(E8*('Экономика'!$C$7*(1-'Экономика'!$C$11)-'Экономика'!$C$9)+(C8+D8)*('Экономика'!$C$8*(1-'Экономика'!$C$11)-'Экономика'!$C$10)-'Экономика'!$F$21)/(1+'Экономика'!$C$12)^3</x:f>
        <x:v>320.1666666666663</x:v>
      </x:c>
    </x:row>
    <x:row r="9" ht="26" customHeight="1">
      <x:c r="B9" s="1" t="str">
        <x:v>Ускоренный</x:v>
      </x:c>
      <x:c r="C9" s="9" t="n">
        <x:v>5</x:v>
      </x:c>
      <x:c r="D9" s="9" t="n">
        <x:v>10</x:v>
      </x:c>
      <x:c r="E9" s="9" t="n">
        <x:v>20</x:v>
      </x:c>
      <x:c r="F9" s="15" t="n">
        <x:f>-'Экономика'!$C$13+(C9*('Экономика'!$C$7*(1-'Экономика'!$C$11)-'Экономика'!$C$9)-'Экономика'!$D$21)/(1+'Экономика'!$C$12)+(D9*('Экономика'!$C$7*(1-'Экономика'!$C$11)-'Экономика'!$C$9)+C9*('Экономика'!$C$8*(1-'Экономика'!$C$11)-'Экономика'!$C$10)-'Экономика'!$E$21)/(1+'Экономика'!$C$12)^2+(E9*('Экономика'!$C$7*(1-'Экономика'!$C$11)-'Экономика'!$C$9)+(C9+D9)*('Экономика'!$C$8*(1-'Экономика'!$C$11)-'Экономика'!$C$10)-'Экономика'!$F$21)/(1+'Экономика'!$C$12)^3</x:f>
        <x:v>3589.166666666667</x:v>
      </x:c>
    </x:row>
    <x:row r="10" ht="26" customHeight="1">
      <x:c r="B10" s="1"/>
      <x:c r="C10" s="2"/>
      <x:c r="D10" s="2"/>
      <x:c r="E10" s="2"/>
      <x:c r="F10" s="2"/>
    </x:row>
    <x:row r="11" ht="26" customHeight="1">
      <x:c r="B11" s="1"/>
      <x:c r="C11" s="2"/>
      <x:c r="D11" s="2"/>
      <x:c r="E11" s="2"/>
      <x:c r="F11" s="2"/>
    </x:row>
    <x:row r="12" ht="38" customHeight="1">
      <x:c r="B12" s="18" t="str">
        <x:v>Фактор относительно базы</x:v>
      </x:c>
      <x:c r="C12" s="21" t="str">
        <x:v>Продажи</x:v>
      </x:c>
      <x:c r="D12" s="21" t="str">
        <x:v>Все операционные затраты</x:v>
      </x:c>
      <x:c r="E12" s="21" t="str">
        <x:v>NPV, тыс. руб.</x:v>
      </x:c>
      <x:c r="F12" s="2"/>
    </x:row>
    <x:row r="13" ht="26" customHeight="1">
      <x:c r="B13" s="1" t="str">
        <x:v>База</x:v>
      </x:c>
      <x:c r="C13" s="14" t="n">
        <x:v>1</x:v>
      </x:c>
      <x:c r="D13" s="14" t="n">
        <x:v>1</x:v>
      </x:c>
      <x:c r="E13" s="15" t="n">
        <x:f>-'Экономика'!$C$13+('Экономика'!D18*C13*(1-'Экономика'!$C$11)-('Экономика'!D19*C13+'Экономика'!D21)*D13)/(1+'Экономика'!$C$12)+('Экономика'!E18*C13*(1-'Экономика'!$C$11)-('Экономика'!E19*C13+'Экономика'!E21)*D13)/(1+'Экономика'!$C$12)^2+('Экономика'!F18*C13*(1-'Экономика'!$C$11)-('Экономика'!F19*C13+'Экономика'!F21)*D13)/(1+'Экономика'!$C$12)^3</x:f>
        <x:v>320.1666666666663</x:v>
      </x:c>
      <x:c r="F13" s="2"/>
    </x:row>
    <x:row r="14" ht="26" customHeight="1">
      <x:c r="B14" s="1" t="str">
        <x:v>Объём продаж ниже на 20%</x:v>
      </x:c>
      <x:c r="C14" s="14" t="n">
        <x:v>0.8</x:v>
      </x:c>
      <x:c r="D14" s="14" t="n">
        <x:v>1</x:v>
      </x:c>
      <x:c r="E14" s="15" t="n">
        <x:f>-'Экономика'!$C$13+('Экономика'!D18*C14*(1-'Экономика'!$C$11)-('Экономика'!D19*C14+'Экономика'!D21)*D14)/(1+'Экономика'!$C$12)+('Экономика'!E18*C14*(1-'Экономика'!$C$11)-('Экономика'!E19*C14+'Экономика'!E21)*D14)/(1+'Экономика'!$C$12)^2+('Экономика'!F18*C14*(1-'Экономика'!$C$11)-('Экономика'!F19*C14+'Экономика'!F21)*D14)/(1+'Экономика'!$C$12)^3</x:f>
        <x:v>-660.5333333333331</x:v>
      </x:c>
      <x:c r="F14" s="2"/>
    </x:row>
    <x:row r="15" ht="26" customHeight="1">
      <x:c r="B15" s="1" t="str">
        <x:v>Операционные затраты выше на 15%</x:v>
      </x:c>
      <x:c r="C15" s="14" t="n">
        <x:v>1</x:v>
      </x:c>
      <x:c r="D15" s="14" t="n">
        <x:v>1.15</x:v>
      </x:c>
      <x:c r="E15" s="15" t="n">
        <x:f>-'Экономика'!$C$13+('Экономика'!D18*C15*(1-'Экономика'!$C$11)-('Экономика'!D19*C15+'Экономика'!D21)*D15)/(1+'Экономика'!$C$12)+('Экономика'!E18*C15*(1-'Экономика'!$C$11)-('Экономика'!E19*C15+'Экономика'!E21)*D15)/(1+'Экономика'!$C$12)^2+('Экономика'!F18*C15*(1-'Экономика'!$C$11)-('Экономика'!F19*C15+'Экономика'!F21)*D15)/(1+'Экономика'!$C$12)^3</x:f>
        <x:v>-426.70833333333326</x:v>
      </x:c>
      <x:c r="F15" s="2"/>
    </x:row>
    <x:row r="16" ht="26" customHeight="1">
      <x:c r="B16" s="1"/>
      <x:c r="C16" s="2"/>
      <x:c r="D16" s="2"/>
      <x:c r="E16" s="2"/>
      <x:c r="F16" s="2"/>
    </x:row>
    <x:row r="17" ht="26" customHeight="1">
      <x:c r="B17" s="1"/>
      <x:c r="C17" s="2"/>
      <x:c r="D17" s="2"/>
      <x:c r="E17" s="2"/>
      <x:c r="F17" s="2"/>
    </x:row>
    <x:row r="18" ht="26" customHeight="1">
      <x:c r="B18" s="11" t="str">
        <x:v>Источники и допущения</x:v>
      </x:c>
      <x:c r="C18" s="12"/>
      <x:c r="D18" s="12"/>
      <x:c r="E18" s="12"/>
      <x:c r="F18" s="12"/>
    </x:row>
    <x:row r="19" ht="26" customHeight="1">
      <x:c r="B19" s="11" t="str">
        <x:v>Цена, объёмы, себестоимость и ставка дисконтирования: модель проекта от 30.09.2026.</x:v>
      </x:c>
      <x:c r="C19" s="12"/>
      <x:c r="D19" s="12"/>
      <x:c r="E19" s="12"/>
      <x:c r="F19" s="12"/>
    </x:row>
    <x:row r="20" ht="26" customHeight="1">
      <x:c r="B20" s="11" t="str">
        <x:v>Не включены в цену клиента: камеры, сервер, сеть, нетиповая интеграция и дообучение.</x:v>
      </x:c>
      <x:c r="C20" s="12"/>
      <x:c r="D20" s="12"/>
      <x:c r="E20" s="12"/>
      <x:c r="F20" s="12"/>
    </x:row>
    <x:row r="21" ht="26" customHeight="1">
      <x:c r="B21" s="11" t="str">
        <x:v>Синий текст: редактируемые допущения. Чёрный: расчёт. Зелёный: связи с другим листом.</x:v>
      </x:c>
      <x:c r="C21" s="12"/>
      <x:c r="D21" s="12"/>
      <x:c r="E21" s="12"/>
      <x:c r="F21" s="12"/>
    </x:row>
    <x:row r="22" ht="26" customHeight="1">
      <x:c r="B22" s="11"/>
      <x:c r="C22" s="12"/>
      <x:c r="D22" s="12"/>
      <x:c r="E22" s="12"/>
      <x:c r="F22" s="12"/>
    </x:row>
    <x:row r="23" ht="26" customHeight="1">
      <x:c r="B23" s="11" t="str">
        <x:v>Справка ФНС о расчёте УСН. Применимость к проекту не установлена:</x:v>
      </x:c>
      <x:c r="C23" s="12"/>
      <x:c r="D23" s="12"/>
      <x:c r="E23" s="12"/>
      <x:c r="F23" s="12"/>
    </x:row>
    <x:row r="24" ht="26" customHeight="1">
      <x:c r="B24" s="11" t="str">
        <x:v>https://ausn.nalog.gov.ru/create_business/ip/in_progress/usn/step3/</x:v>
      </x:c>
      <x:c r="C24" s="12"/>
      <x:c r="D24" s="12"/>
      <x:c r="E24" s="12"/>
      <x:c r="F24" s="12"/>
    </x:row>
    <x:row r="25" ht="26" customHeight="1">
      <x:c r="B25" s="1"/>
      <x:c r="C25" s="2"/>
      <x:c r="D25" s="2"/>
      <x:c r="E25" s="2"/>
      <x:c r="F25" s="2"/>
    </x:row>
    <x:row r="26" ht="26" customHeight="1">
      <x:c r="B26" s="1"/>
      <x:c r="C26" s="2"/>
      <x:c r="D26" s="2"/>
      <x:c r="E26" s="2"/>
      <x:c r="F26" s="2"/>
    </x:row>
    <x:row r="27" ht="26" customHeight="1">
      <x:c r="B27" s="1"/>
      <x:c r="C27" s="2"/>
      <x:c r="D27" s="2"/>
      <x:c r="E27" s="2"/>
      <x:c r="F27" s="2"/>
    </x:row>
    <x:row r="28" ht="26" customHeight="1">
      <x:c r="B28" s="1"/>
      <x:c r="C28" s="2"/>
      <x:c r="D28" s="2"/>
      <x:c r="E28" s="2"/>
      <x:c r="F28" s="2"/>
    </x:row>
    <x:row r="29" ht="26" customHeight="1">
      <x:c r="B29" s="1"/>
      <x:c r="C29" s="2"/>
      <x:c r="D29" s="2"/>
      <x:c r="E29" s="2"/>
      <x:c r="F29" s="2"/>
    </x:row>
    <x:row r="30" ht="26" customHeight="1">
      <x:c r="B30" s="1"/>
      <x:c r="C30" s="2"/>
      <x:c r="D30" s="2"/>
      <x:c r="E30" s="2"/>
      <x:c r="F30" s="2"/>
    </x:row>
    <x:row r="31" ht="26" customHeight="1">
      <x:c r="B31" s="1"/>
      <x:c r="C31" s="2"/>
      <x:c r="D31" s="2"/>
      <x:c r="E31" s="2"/>
      <x:c r="F31" s="2"/>
    </x:row>
    <x:row r="32" ht="26" customHeight="1">
      <x:c r="B32" s="1"/>
      <x:c r="C32" s="2"/>
      <x:c r="D32" s="2"/>
      <x:c r="E32" s="2"/>
      <x:c r="F32" s="2"/>
    </x:row>
    <x:row r="33" ht="26" customHeight="1">
      <x:c r="B33" s="1"/>
      <x:c r="C33" s="2"/>
      <x:c r="D33" s="2"/>
      <x:c r="E33" s="2"/>
      <x:c r="F33" s="2"/>
    </x:row>
    <x:row r="34" ht="26" customHeight="1">
      <x:c r="B34" s="1"/>
      <x:c r="C34" s="2"/>
      <x:c r="D34" s="2"/>
      <x:c r="E34" s="2"/>
      <x:c r="F34" s="2"/>
    </x:row>
    <x:row r="35" ht="26" customHeight="1">
      <x:c r="B35" s="1"/>
      <x:c r="C35" s="2"/>
      <x:c r="D35" s="2"/>
      <x:c r="E35" s="2"/>
      <x:c r="F35" s="2"/>
    </x:row>
    <x:row r="36" ht="26" customHeight="1">
      <x:c r="B36" s="1"/>
      <x:c r="C36" s="2"/>
      <x:c r="D36" s="2"/>
      <x:c r="E36" s="2"/>
      <x:c r="F36" s="2"/>
    </x:row>
    <x:row r="37" ht="26" customHeight="1">
      <x:c r="B37" s="1"/>
      <x:c r="C37" s="2"/>
      <x:c r="D37" s="2"/>
      <x:c r="E37" s="2"/>
      <x:c r="F37" s="2"/>
    </x:row>
    <x:row r="38" ht="26" customHeight="1">
      <x:c r="B38" s="1"/>
      <x:c r="C38" s="2"/>
      <x:c r="D38" s="2"/>
      <x:c r="E38" s="2"/>
      <x:c r="F38" s="2"/>
    </x:row>
    <x:row r="39" ht="26" customHeight="1">
      <x:c r="B39" s="1"/>
      <x:c r="C39" s="2"/>
      <x:c r="D39" s="2"/>
      <x:c r="E39" s="2"/>
      <x:c r="F39" s="2"/>
    </x:row>
    <x:row r="40" ht="26" customHeight="1">
      <x:c r="B40" s="25"/>
      <x:c r="C40" s="2"/>
      <x:c r="D40" s="2"/>
      <x:c r="E40" s="2"/>
      <x:c r="F40" s="2"/>
    </x:row>
    <x:row r="41" ht="26" customHeight="1">
      <x:c r="B41" s="25"/>
      <x:c r="C41" s="1"/>
      <x:c r="D41" s="1"/>
      <x:c r="E41" s="1"/>
      <x:c r="F41" s="1"/>
    </x:row>
    <x:row r="42" ht="26" customHeight="1">
      <x:c r="B42" s="25"/>
      <x:c r="C42" s="1"/>
      <x:c r="D42" s="1"/>
      <x:c r="E42" s="1"/>
      <x:c r="F42" s="1"/>
    </x:row>
  </x:sheetData>
  <x:pageMargins left="0.7" right="0.7" top="0.75" bottom="0.75" header="0.3" footer="0.3"/>
</x:worksheet>
</file>